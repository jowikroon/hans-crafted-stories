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ecklist" sheetId="2" state="visible" r:id="rId4"/>
    <sheet name="Gates" sheetId="3" state="visible" r:id="rId5"/>
    <sheet name="Audit trail" sheetId="4" state="visible" r:id="rId6"/>
    <sheet name="Legenda" sheetId="5" state="visible" r:id="rId7"/>
  </sheets>
  <definedNames>
    <definedName function="false" hidden="true" localSheetId="1" name="_xlnm._FilterDatabase" vbProcedure="false">Checklist!$A$1:$K$32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<sst xmlns="http://schemas.openxmlformats.org/spreadsheetml/2006/main" count="432" uniqueCount="247">
  <si>
    <t xml:space="preserve">eBay DE — Go-Live Checklist</t>
  </si>
  <si>
    <t xml:space="preserve">CCP × A.B.S. · Channable 314525 · eBay kanaal 159122 · launch-week 2026-07-14 t/m 2026-07-18 · bron: golive-checklist-status.json</t>
  </si>
  <si>
    <t xml:space="preserve">Items totaal</t>
  </si>
  <si>
    <t xml:space="preserve">Done</t>
  </si>
  <si>
    <t xml:space="preserve">Doing</t>
  </si>
  <si>
    <t xml:space="preserve">To do</t>
  </si>
  <si>
    <t xml:space="preserve">% klaar</t>
  </si>
  <si>
    <t xml:space="preserve">Blockers open</t>
  </si>
  <si>
    <t xml:space="preserve">Voortgang per gate</t>
  </si>
  <si>
    <t xml:space="preserve">Gate</t>
  </si>
  <si>
    <t xml:space="preserve">Status</t>
  </si>
  <si>
    <t xml:space="preserve">Besluit Hans 10-07: factuur (G4) = geen go-live-blocker (grijs/cursief in Checklist). Kritieke pad: G0 → G1 → 6.4 (SKU Filter, Hans) → 8.1 (Uitvoeren, Hans).</t>
  </si>
  <si>
    <t xml:space="preserve">ID</t>
  </si>
  <si>
    <t xml:space="preserve">Taak</t>
  </si>
  <si>
    <t xml:space="preserve">Definition of Done</t>
  </si>
  <si>
    <t xml:space="preserve">Verificatiemethode</t>
  </si>
  <si>
    <t xml:space="preserve">Owner</t>
  </si>
  <si>
    <t xml:space="preserve">Fase</t>
  </si>
  <si>
    <t xml:space="preserve">Go-live blocker</t>
  </si>
  <si>
    <t xml:space="preserve">Bewijs / evidence</t>
  </si>
  <si>
    <t xml:space="preserve">Laatst gecheckt</t>
  </si>
  <si>
    <t xml:space="preserve">G0 · Infra hersteld</t>
  </si>
  <si>
    <t xml:space="preserve">0.1</t>
  </si>
  <si>
    <t xml:space="preserve">Atvise: Magento scope/storeview rollback</t>
  </si>
  <si>
    <t xml:space="preserve">Channable Magento-import Items &gt; 0</t>
  </si>
  <si>
    <t xml:space="preserve">API: import 750543 item-count</t>
  </si>
  <si>
    <t xml:space="preserve">Atvise</t>
  </si>
  <si>
    <t xml:space="preserve">Pre-live</t>
  </si>
  <si>
    <t xml:space="preserve">Ja</t>
  </si>
  <si>
    <t xml:space="preserve">done</t>
  </si>
  <si>
    <t xml:space="preserve">Duitse Store draait inactief ernaast. Channable op default store werkend. (Hans 10-07)</t>
  </si>
  <si>
    <t xml:space="preserve">2026-07-10</t>
  </si>
  <si>
    <t xml:space="preserve">0.2</t>
  </si>
  <si>
    <t xml:space="preserve">Verzendmethode DE aan (Ship to Applicable Countries, juiste scope)</t>
  </si>
  <si>
    <t xml:space="preserve">DE-testorder importeert zonder 'verzendmethode ontbreekt'</t>
  </si>
  <si>
    <t xml:space="preserve">API + VIS Magento config</t>
  </si>
  <si>
    <t xml:space="preserve">Hans/Luca</t>
  </si>
  <si>
    <t xml:space="preserve">Order eBay→Channable→Magento bewezen op order 144013198 (Hans 10-07)</t>
  </si>
  <si>
    <t xml:space="preserve">0.3</t>
  </si>
  <si>
    <t xml:space="preserve">13 mislukte testorders opnieuw versturen</t>
  </si>
  <si>
    <t xml:space="preserve">0 orders in Mislukte bestellingen</t>
  </si>
  <si>
    <t xml:space="preserve">VIS Channable Orders</t>
  </si>
  <si>
    <t xml:space="preserve">Hans</t>
  </si>
  <si>
    <t xml:space="preserve">todo</t>
  </si>
  <si>
    <t xml:space="preserve">Niet in Hans' status-update 10-07; flow werkt inmiddels (144013198) — resterende testorder-errors in Channable opruimen of afvoeren</t>
  </si>
  <si>
    <t xml:space="preserve">0.4</t>
  </si>
  <si>
    <t xml:space="preserve">Besluit: live zonder DE-storeview</t>
  </si>
  <si>
    <t xml:space="preserve">Besluit gelogd in vault</t>
  </si>
  <si>
    <t xml:space="preserve">SIGN Hans+Sjoerd</t>
  </si>
  <si>
    <t xml:space="preserve">Besluit: live via default store; DE-storeview staat (inactief) voor 3 productcategorieën ernaast (Hans 10-07)</t>
  </si>
  <si>
    <t xml:space="preserve">G1 · Legal / compliance</t>
  </si>
  <si>
    <t xml:space="preserve">1.1</t>
  </si>
  <si>
    <t xml:space="preserve">Impressum · AGB · Widerruf · Datenschutz live</t>
  </si>
  <si>
    <t xml:space="preserve">4 teksten zichtbaar op eBay-shop/listings</t>
  </si>
  <si>
    <t xml:space="preserve">VIS eBay shop</t>
  </si>
  <si>
    <t xml:space="preserve">Sjoerd</t>
  </si>
  <si>
    <t xml:space="preserve">[unverified] — 4 wk stil per actieplan 07-06</t>
  </si>
  <si>
    <t xml:space="preserve">1.2</t>
  </si>
  <si>
    <t xml:space="preserve">OSS actief, 19% DE-btw op listing + factuur</t>
  </si>
  <si>
    <t xml:space="preserve">Bevestiging adviseur op schrift</t>
  </si>
  <si>
    <t xml:space="preserve">SIGN</t>
  </si>
  <si>
    <t xml:space="preserve">doing</t>
  </si>
  <si>
    <t xml:space="preserve">OSS actief; DE-btw hoeft niet op factuur zolang OSS actief. BTW-proces loopt. (Hans 10-07)</t>
  </si>
  <si>
    <t xml:space="preserve">1.3</t>
  </si>
  <si>
    <t xml:space="preserve">Lizenzero/VerpackG getekend + LUCID-nr</t>
  </si>
  <si>
    <t xml:space="preserve">Contract + LUCID-nummer in dossier</t>
  </si>
  <si>
    <t xml:space="preserve">SIGN + doc</t>
  </si>
  <si>
    <t xml:space="preserve">LUCID DE5131761082554; Lizenzero/VerpackG getekend, binnen 09-07-2026 (Hans 10-07)</t>
  </si>
  <si>
    <t xml:space="preserve">1.4</t>
  </si>
  <si>
    <t xml:space="preserve">GPSR op elke listing (Tinbergenlaan 7, veld gpsr_manufacturer_name)</t>
  </si>
  <si>
    <t xml:space="preserve">Compliance Dashboard 0 rood; GPSR in preview</t>
  </si>
  <si>
    <t xml:space="preserve">VIS Seller Hub + API feedcheck</t>
  </si>
  <si>
    <t xml:space="preserve">GPSR in alle 20 regels (setup-status 07-08); door Hans afgetekend 10-07</t>
  </si>
  <si>
    <t xml:space="preserve">G2 · Order loopt door</t>
  </si>
  <si>
    <t xml:space="preserve">2.1</t>
  </si>
  <si>
    <t xml:space="preserve">Allow Countries = DE (herbevestigen na incident)</t>
  </si>
  <si>
    <t xml:space="preserve">DE-adres geaccepteerd bij import</t>
  </si>
  <si>
    <t xml:space="preserve">API/VIS</t>
  </si>
  <si>
    <t xml:space="preserve">Gezet 07-07; herbevestigd via order 144013198 op 10-07 (Hans)</t>
  </si>
  <si>
    <t xml:space="preserve">2.2</t>
  </si>
  <si>
    <t xml:space="preserve">eBay order-sync Complete actief in Channable</t>
  </si>
  <si>
    <t xml:space="preserve">Connectie Active + shipment updates Enabled</t>
  </si>
  <si>
    <t xml:space="preserve">API order-config</t>
  </si>
  <si>
    <t xml:space="preserve">Stoplicht-A4 07-07: Active + Enabled</t>
  </si>
  <si>
    <t xml:space="preserve">2026-07-08</t>
  </si>
  <si>
    <t xml:space="preserve">2.3</t>
  </si>
  <si>
    <t xml:space="preserve">DE-testorder in Magento én D365</t>
  </si>
  <si>
    <t xml:space="preserve">Order zichtbaar in Magento + D365-sync bevestigd</t>
  </si>
  <si>
    <t xml:space="preserve">E2E + SIGN Niek</t>
  </si>
  <si>
    <t xml:space="preserve">Hans/Niek</t>
  </si>
  <si>
    <t xml:space="preserve">DE-testorder in Magento bewezen (144013198); D365-sync via Niek (Hans 10-07)</t>
  </si>
  <si>
    <t xml:space="preserve">G3 · Verzending + T&amp;T</t>
  </si>
  <si>
    <t xml:space="preserve">3.1</t>
  </si>
  <si>
    <t xml:space="preserve">DPD DE-label + tarief (schijven &gt;5kg marge &gt;15%)</t>
  </si>
  <si>
    <t xml:space="preserve">Testlabel gegenereerd, marge-check gelogd</t>
  </si>
  <si>
    <t xml:space="preserve">VIS + SIGN</t>
  </si>
  <si>
    <t xml:space="preserve">3.2</t>
  </si>
  <si>
    <t xml:space="preserve">ABS API vult T&amp;T op shipment bij álle orders</t>
  </si>
  <si>
    <t xml:space="preserve">3 opeenvolgende orders met gevuld trackingveld</t>
  </si>
  <si>
    <t xml:space="preserve">VIS Magento Shipments steekproef</t>
  </si>
  <si>
    <t xml:space="preserve">Niek</t>
  </si>
  <si>
    <t xml:space="preserve">Afgetekend Hans 10-07. NB bewijs-dossier: 1 testorder gevuld (DPD 05112095164869); DoD was 3 opeenvolgende orders — steekproef blijft in launch-week</t>
  </si>
  <si>
    <t xml:space="preserve">3.3</t>
  </si>
  <si>
    <t xml:space="preserve">Tracking terug op eBay + carrier 'DPD' (default staat op DPD Predict)</t>
  </si>
  <si>
    <t xml:space="preserve">Trackingnr klikbaar op eBay-order, koper gemaild</t>
  </si>
  <si>
    <t xml:space="preserve">E2E + VIS</t>
  </si>
  <si>
    <t xml:space="preserve">Transporter-regel ≥13→DPD staat; propagatie afwachten op order 144013198 (geplaatst 10-07)</t>
  </si>
  <si>
    <t xml:space="preserve">G4 · Factuur</t>
  </si>
  <si>
    <t xml:space="preserve">4.1</t>
  </si>
  <si>
    <t xml:space="preserve">Besluit factuurpad (B2C geen / Billbee / easybill)</t>
  </si>
  <si>
    <t xml:space="preserve">Besluit gelogd</t>
  </si>
  <si>
    <t xml:space="preserve">SIGN Sjoerd</t>
  </si>
  <si>
    <t xml:space="preserve">Na live</t>
  </si>
  <si>
    <t xml:space="preserve">Nee</t>
  </si>
  <si>
    <t xml:space="preserve">NA LIVE — geen blocker (Hans 10-07). Advies ligt er sinds 07-06 (order-to-cash + factuur-opties-A4)</t>
  </si>
  <si>
    <t xml:space="preserve">4.2</t>
  </si>
  <si>
    <t xml:space="preserve">Indien tool: koppelen, 19%/OSS, test-B2B-factuur</t>
  </si>
  <si>
    <t xml:space="preserve">1 correcte factuur op testorder</t>
  </si>
  <si>
    <t xml:space="preserve">NA LIVE — geen blocker. Wacht op 4.1</t>
  </si>
  <si>
    <t xml:space="preserve">G5 · Retour</t>
  </si>
  <si>
    <t xml:space="preserve">5.1</t>
  </si>
  <si>
    <t xml:space="preserve">eBay retourbeleid (30 dgn) + retouradres + provider</t>
  </si>
  <si>
    <t xml:space="preserve">Policy zichtbaar op listing</t>
  </si>
  <si>
    <t xml:space="preserve">VIS</t>
  </si>
  <si>
    <t xml:space="preserve">Afgetekend Hans 10-07</t>
  </si>
  <si>
    <t xml:space="preserve">5.2</t>
  </si>
  <si>
    <t xml:space="preserve">Returnless-config afmaken (validatie→postcode, formulier, DE→NL label, Dev-integratie los)</t>
  </si>
  <si>
    <t xml:space="preserve">Testretour vindt order op postcode</t>
  </si>
  <si>
    <t xml:space="preserve">E2E Returnless</t>
  </si>
  <si>
    <t xml:space="preserve">Insteladvies 10-07: integratie AAN, importer UIT correct; 3 punten open + laatste scope-check</t>
  </si>
  <si>
    <t xml:space="preserve">5.3</t>
  </si>
  <si>
    <t xml:space="preserve">Verwerker refund aangewezen</t>
  </si>
  <si>
    <t xml:space="preserve">Naam gelogd</t>
  </si>
  <si>
    <t xml:space="preserve">Luca &amp; Hans, zelfde proces als webshop (Hans 10-07)</t>
  </si>
  <si>
    <t xml:space="preserve">G6 · Listings kloppen</t>
  </si>
  <si>
    <t xml:space="preserve">6.1</t>
  </si>
  <si>
    <t xml:space="preserve">Titels Duits ≤80 (20 kanaalregels)</t>
  </si>
  <si>
    <t xml:space="preserve">0 titels &gt;80 op go-live-scope</t>
  </si>
  <si>
    <t xml:space="preserve">API preview scope-SKU's</t>
  </si>
  <si>
    <t xml:space="preserve">log.md 07-08: 20 titels hercheck, max 77</t>
  </si>
  <si>
    <t xml:space="preserve">6.2</t>
  </si>
  <si>
    <t xml:space="preserve">Omschrijving met GPSR, geen lege velden</t>
  </si>
  <si>
    <t xml:space="preserve">Preview 3 SKU per categorie schoon</t>
  </si>
  <si>
    <t xml:space="preserve">VIS preview</t>
  </si>
  <si>
    <t xml:space="preserve">Setup-status 07-08: 20 regels, GPSR uit veld</t>
  </si>
  <si>
    <t xml:space="preserve">6.3</t>
  </si>
  <si>
    <t xml:space="preserve">eBay-categorie per product juist</t>
  </si>
  <si>
    <t xml:space="preserve">Go-live-SKU's 100% gecategoriseerd</t>
  </si>
  <si>
    <t xml:space="preserve">API</t>
  </si>
  <si>
    <t xml:space="preserve">78,1% feed-breed, 0 mapping-mismatches; afgetekend Hans 10-07</t>
  </si>
  <si>
    <t xml:space="preserve">6.4</t>
  </si>
  <si>
    <t xml:space="preserve">SKU Filter = exact de bedoelde go-live-lijst (kostenrem — alleen Hans)</t>
  </si>
  <si>
    <t xml:space="preserve">Item-teller preview = bedoeld aantal</t>
  </si>
  <si>
    <t xml:space="preserve">API items-na + SIGN Hans</t>
  </si>
  <si>
    <t xml:space="preserve">Afgetekend Hans 10-07. NB: scope = 4 test-SKU's — bevestig dat dít de bedoelde livegang-lijst is vóór Uitvoeren</t>
  </si>
  <si>
    <t xml:space="preserve">6.5</t>
  </si>
  <si>
    <t xml:space="preserve">Item-specifics live categorieën (OE/Vergleich/EAN/Einbauposition); maten zodra Bremsscheiben live</t>
  </si>
  <si>
    <t xml:space="preserve">Attributes-pagina gemapt voor alle live categorieën</t>
  </si>
  <si>
    <t xml:space="preserve">VIS Build→Attributes</t>
  </si>
  <si>
    <t xml:space="preserve">3 categorieën gemapt 07-08; maten + K-Typ open. Geen blocker — wel nodig voor eBay Partsfinder; optimalisatie ná live (Hans 10-07)</t>
  </si>
  <si>
    <t xml:space="preserve">G7 · Betaling &amp; policies</t>
  </si>
  <si>
    <t xml:space="preserve">7.1</t>
  </si>
  <si>
    <t xml:space="preserve">Managed Payments payout-config (bank, EUR, schema)</t>
  </si>
  <si>
    <t xml:space="preserve">Payout-status actief in Seller Hub</t>
  </si>
  <si>
    <t xml:space="preserve">7.2</t>
  </si>
  <si>
    <t xml:space="preserve">Business Policies (Shipping ≤2 dgn, Payment, Return) aan alle listings</t>
  </si>
  <si>
    <t xml:space="preserve">Policies-pagina toont koppeling</t>
  </si>
  <si>
    <t xml:space="preserve">G8 · Eindtest + launch-week</t>
  </si>
  <si>
    <t xml:space="preserve">8.1</t>
  </si>
  <si>
    <t xml:space="preserve">Hans klikt Uitvoeren (nooit de agent)</t>
  </si>
  <si>
    <t xml:space="preserve">Listings live op eBay DE</t>
  </si>
  <si>
    <t xml:space="preserve">SIGN Hans + VIS</t>
  </si>
  <si>
    <t xml:space="preserve">8.2</t>
  </si>
  <si>
    <t xml:space="preserve">1 echte order: betaald → verzonden → getrackt → (gefactureerd)</t>
  </si>
  <si>
    <t xml:space="preserve">Alle stappen met bewijs</t>
  </si>
  <si>
    <t xml:space="preserve">E2E</t>
  </si>
  <si>
    <t xml:space="preserve">Echte order onderweg (144013198) — E2E-bewijs volgt</t>
  </si>
  <si>
    <t xml:space="preserve">8.3</t>
  </si>
  <si>
    <t xml:space="preserve">1 retour getest end-to-end</t>
  </si>
  <si>
    <t xml:space="preserve">Refund verwerkt</t>
  </si>
  <si>
    <t xml:space="preserve">Huidige route wordt getest (Hans 10-07)</t>
  </si>
  <si>
    <t xml:space="preserve">8.4</t>
  </si>
  <si>
    <t xml:space="preserve">Launch-week order-watch 14–18/7 actief</t>
  </si>
  <si>
    <t xml:space="preserve">Task enabled + eerste run gelogd</t>
  </si>
  <si>
    <t xml:space="preserve">API scheduled-tasks</t>
  </si>
  <si>
    <t xml:space="preserve">Cowork</t>
  </si>
  <si>
    <t xml:space="preserve">ebay-de-launch-order-watch enabled, next run 14-07 08:07</t>
  </si>
  <si>
    <t xml:space="preserve">8.5</t>
  </si>
  <si>
    <t xml:space="preserve">Na live: Messages, INR/SNAD-proces, Verkäufer-Cockpit, out-of-stock-control</t>
  </si>
  <si>
    <t xml:space="preserve">Proces + eigenaar gelogd</t>
  </si>
  <si>
    <t xml:space="preserve">Hans → Marketplace manager (Hans 10-07)</t>
  </si>
  <si>
    <t xml:space="preserve">Omschrijving</t>
  </si>
  <si>
    <t xml:space="preserve">Items</t>
  </si>
  <si>
    <t xml:space="preserve">Gate-status (GO / NO-GO)</t>
  </si>
  <si>
    <t xml:space="preserve">G0</t>
  </si>
  <si>
    <t xml:space="preserve">Infra hersteld (storeview-incident)</t>
  </si>
  <si>
    <t xml:space="preserve">G1</t>
  </si>
  <si>
    <t xml:space="preserve">Legal / compliance</t>
  </si>
  <si>
    <t xml:space="preserve">G2</t>
  </si>
  <si>
    <t xml:space="preserve">Order loopt door</t>
  </si>
  <si>
    <t xml:space="preserve">G3</t>
  </si>
  <si>
    <t xml:space="preserve">Verzending + T&amp;T</t>
  </si>
  <si>
    <t xml:space="preserve">G4</t>
  </si>
  <si>
    <t xml:space="preserve">Factuur — GEEN go-live-blocker (besluit Hans 10-07; B2C niet verplicht, B2B binnen 6 mnd op verzoek)</t>
  </si>
  <si>
    <t xml:space="preserve">G5</t>
  </si>
  <si>
    <t xml:space="preserve">Retour</t>
  </si>
  <si>
    <t xml:space="preserve">G6</t>
  </si>
  <si>
    <t xml:space="preserve">Listings kloppen</t>
  </si>
  <si>
    <t xml:space="preserve">G7</t>
  </si>
  <si>
    <t xml:space="preserve">Betaling &amp; policies</t>
  </si>
  <si>
    <t xml:space="preserve">G8</t>
  </si>
  <si>
    <t xml:space="preserve">Eindtest + launch-week</t>
  </si>
  <si>
    <t xml:space="preserve">TOTAAL</t>
  </si>
  <si>
    <t xml:space="preserve">Tijdstip</t>
  </si>
  <si>
    <t xml:space="preserve">Run</t>
  </si>
  <si>
    <t xml:space="preserve">Door</t>
  </si>
  <si>
    <t xml:space="preserve">Samenvatting</t>
  </si>
  <si>
    <t xml:space="preserve">Wijzigingen</t>
  </si>
  <si>
    <t xml:space="preserve">2026-07-10T14:30:00+02:00</t>
  </si>
  <si>
    <t xml:space="preserve">init</t>
  </si>
  <si>
    <t xml:space="preserve">cowork-interactief</t>
  </si>
  <si>
    <t xml:space="preserve">Initiële vulling uit vault-synthese 10-07. Done 4 · Doing 11 · To do 16.</t>
  </si>
  <si>
    <t xml:space="preserve">alle items aangemaakt</t>
  </si>
  <si>
    <t xml:space="preserve">2026-07-10T15:10:00+02:00</t>
  </si>
  <si>
    <t xml:space="preserve">correctie-hans</t>
  </si>
  <si>
    <t xml:space="preserve">Besluit Hans: factuur (Gate 4) is GEEN go-live-blocker — verplaatst naar na-live. Kritieke pad = G0, G1, 6.4, 8.1. Channable-API-koppeling voorbereid via _skill/adapters/.env (CHANNABLE_*).</t>
  </si>
  <si>
    <t xml:space="preserve">G4 hernoemd, 4.1/4.2 evidence NA LIVE</t>
  </si>
  <si>
    <t xml:space="preserve">2026-07-10T15:25:00+02:00</t>
  </si>
  <si>
    <t xml:space="preserve">memory-sync</t>
  </si>
  <si>
    <t xml:space="preserve">0.4 storeview-besluit → done (stond al vast in memory). Done 5 · Doing 10 · To do 16.</t>
  </si>
  <si>
    <t xml:space="preserve">0.4 done</t>
  </si>
  <si>
    <t xml:space="preserve">2026-07-10T17:05:00+02:00</t>
  </si>
  <si>
    <t xml:space="preserve">hans-status-sync</t>
  </si>
  <si>
    <t xml:space="preserve">Volledige status-sync met Hans' tabel 10-07 (SIGN Hans autoritair). Done 18 · Doing 6 · To do 7. 6.5 hergemarkeerd als niet-blocker. Aandachtspunten: 3.2 (DoD 3 orders, dossier 1), 6.4 (scope=4 SKU's bevestigen), 0.3 ontbrak in tabel.</t>
  </si>
  <si>
    <t xml:space="preserve">20 items bijgewerkt</t>
  </si>
  <si>
    <t xml:space="preserve">Legenda &amp; werkwijze</t>
  </si>
  <si>
    <t xml:space="preserve">todo = nog niet gestart · doing = loopt · done = af (kies via dropdown in Checklist, kolom I)</t>
  </si>
  <si>
    <t xml:space="preserve">Ja = moet af vóór Uitvoeren · Nee = mag ná live (G4 factuur + 8.5, besluit Hans 10-07; grijs/cursief)</t>
  </si>
  <si>
    <t xml:space="preserve">API = Channable/Magento API-check · VIS = screenshot/UI-bewijs · SIGN = handmatige sign-off (naam+datum) · E2E = end-to-end testtransactie</t>
  </si>
  <si>
    <t xml:space="preserve">GO / NO-GO</t>
  </si>
  <si>
    <t xml:space="preserve">Gate = GO zodra alle blocker-items van die gate done zijn. Dashboard toont totaal-verdict.</t>
  </si>
  <si>
    <t xml:space="preserve">Bron &amp; sync</t>
  </si>
  <si>
    <t xml:space="preserve">Digitale bron = golive-status/golive-checklist-status.json (dagelijkse audit-task 07:25 werkt JSON + LIVE-HTML + Gmail-concept bij). Deze Excel is de deel-/werkversie; wijzigingen die moeten blijven ook in de JSON doorvoeren.</t>
  </si>
  <si>
    <t xml:space="preserve">Harde regels</t>
  </si>
  <si>
    <t xml:space="preserve">SKU Filter alleen lezen (kostenrem) · 'Uitvoeren' klikt alleen Hans (8.1) · SIGN-items nooit automatisch done · API-keys uit _skill/adapters/.env</t>
  </si>
  <si>
    <t xml:space="preserve">Kleuren</t>
  </si>
  <si>
    <t xml:space="preserve">Groen = done · Oranje = doing · Rood = todo · Groene cijfers op Dashboard = links naar andere werkbladen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</si>
</sst>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0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6"/>
      <color rgb="FF15803D"/>
      <name val="Arial"/>
      <family val="0"/>
      <charset val="1"/>
    </font>
    <font>
      <b val="true"/>
      <sz val="16"/>
      <color rgb="FFB45309"/>
      <name val="Arial"/>
      <family val="0"/>
      <charset val="1"/>
    </font>
    <font>
      <b val="true"/>
      <sz val="16"/>
      <color rgb="FFB91C1C"/>
      <name val="Arial"/>
      <family val="0"/>
      <charset val="1"/>
    </font>
    <font>
      <b val="true"/>
      <sz val="16"/>
      <color rgb="FF2E5FA3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FA3"/>
        <bgColor rgb="FF3366FF"/>
      </patternFill>
    </fill>
    <fill>
      <patternFill patternType="solid">
        <fgColor rgb="FF1F3864"/>
        <bgColor rgb="FF333333"/>
      </patternFill>
    </fill>
    <fill>
      <patternFill patternType="solid">
        <fgColor rgb="FFFAFB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15803D"/>
        <sz val="13"/>
      </font>
      <fill>
        <patternFill>
          <bgColor rgb="FFE7F6EC"/>
        </patternFill>
      </fill>
    </dxf>
    <dxf>
      <font>
        <name val="Arial"/>
        <charset val="1"/>
        <family val="0"/>
        <b val="1"/>
        <color rgb="FFB91C1C"/>
        <sz val="13"/>
      </font>
      <fill>
        <patternFill>
          <bgColor rgb="FFFDE8E8"/>
        </patternFill>
      </fill>
    </dxf>
    <dxf>
      <font>
        <name val="Arial"/>
        <charset val="1"/>
        <family val="0"/>
        <b val="1"/>
        <color rgb="FF15803D"/>
      </font>
      <fill>
        <patternFill>
          <bgColor rgb="FFE7F6EC"/>
        </patternFill>
      </fill>
    </dxf>
    <dxf>
      <font>
        <name val="Arial"/>
        <charset val="1"/>
        <family val="0"/>
        <b val="1"/>
        <color rgb="FFB91C1C"/>
      </font>
      <fill>
        <patternFill>
          <bgColor rgb="FFFDE8E8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AFB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6EC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FF4DC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FF4DC"/>
        </patternFill>
      </fill>
    </dxf>
    <dxf>
      <font>
        <name val="Arial"/>
        <charset val="1"/>
        <family val="0"/>
        <i val="1"/>
        <color rgb="FF80808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03D"/>
      <rgbColor rgb="FFC0C0C0"/>
      <rgbColor rgb="FF808080"/>
      <rgbColor rgb="FF9999FF"/>
      <rgbColor rgb="FFB45309"/>
      <rgbColor rgb="FFFFF4DC"/>
      <rgbColor rgb="FFE7F6EC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BFC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6"/>
    <col collapsed="false" customWidth="true" hidden="false" outlineLevel="0" max="6" min="3" style="0" width="12"/>
    <col collapsed="false" customWidth="true" hidden="false" outlineLevel="0" max="7" min="7" style="0" width="20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customFormat="false" ht="19.7" hidden="false" customHeight="false" outlineLevel="0" collapsed="false">
      <c r="B6" s="4" t="n">
        <f aca="false">COUNTA(Checklist!B2:B32)</f>
        <v>31</v>
      </c>
      <c r="C6" s="5" t="n">
        <f aca="false">COUNTIF(Checklist!I2:I32,"done")</f>
        <v>18</v>
      </c>
      <c r="D6" s="6" t="n">
        <f aca="false">COUNTIF(Checklist!I2:I32,"doing")</f>
        <v>6</v>
      </c>
      <c r="E6" s="7" t="n">
        <f aca="false">COUNTIF(Checklist!I2:I32,"todo")</f>
        <v>7</v>
      </c>
      <c r="F6" s="8" t="n">
        <f aca="false">COUNTIF(Checklist!I2:I32,"done")/COUNTA(Checklist!B2:B32)</f>
        <v>0.580645161290323</v>
      </c>
      <c r="G6" s="7" t="n">
        <f aca="false">COUNTIFS(Checklist!H2:H32,"Ja",Checklist!I2:I32,"&lt;&gt;done")</f>
        <v>10</v>
      </c>
    </row>
    <row r="8" customFormat="false" ht="16.15" hidden="false" customHeight="false" outlineLevel="0" collapsed="false">
      <c r="B8" s="9" t="str">
        <f aca="false">IF(COUNTIFS(Checklist!H2:H32,"Ja",Checklist!I2:I32,"&lt;&gt;done")=0,"✔ GO — alle go-live-blockers af","✖ NO-GO — "&amp;COUNTIFS(Checklist!H2:H32,"Ja",Checklist!I2:I32,"&lt;&gt;done")&amp;" blocker-items open")</f>
        <v>✖ NO-GO — 10 blocker-items open</v>
      </c>
      <c r="C8" s="9"/>
      <c r="D8" s="9"/>
      <c r="E8" s="9"/>
      <c r="F8" s="9"/>
      <c r="G8" s="9"/>
      <c r="H8" s="9"/>
    </row>
    <row r="10" customFormat="false" ht="15" hidden="false" customHeight="false" outlineLevel="0" collapsed="false">
      <c r="B10" s="10" t="s">
        <v>8</v>
      </c>
    </row>
    <row r="11" customFormat="false" ht="15" hidden="false" customHeight="false" outlineLevel="0" collapsed="false">
      <c r="B11" s="11" t="s">
        <v>9</v>
      </c>
      <c r="C11" s="11" t="s">
        <v>3</v>
      </c>
      <c r="D11" s="11" t="s">
        <v>4</v>
      </c>
      <c r="E11" s="11" t="s">
        <v>5</v>
      </c>
      <c r="F11" s="11" t="s">
        <v>7</v>
      </c>
      <c r="G11" s="11" t="s">
        <v>10</v>
      </c>
    </row>
    <row r="12" customFormat="false" ht="15" hidden="false" customHeight="false" outlineLevel="0" collapsed="false">
      <c r="B12" s="12" t="str">
        <f aca="false">Gates!A2&amp;" · "&amp;Gates!B2</f>
        <v>G0 · Infra hersteld (storeview-incident)</v>
      </c>
      <c r="C12" s="13" t="n">
        <f aca="false">Gates!D2</f>
        <v>3</v>
      </c>
      <c r="D12" s="13" t="n">
        <f aca="false">Gates!E2</f>
        <v>0</v>
      </c>
      <c r="E12" s="13" t="n">
        <f aca="false">Gates!F2</f>
        <v>1</v>
      </c>
      <c r="F12" s="13" t="n">
        <f aca="false">Gates!G2</f>
        <v>1</v>
      </c>
      <c r="G12" s="13" t="str">
        <f aca="false">Gates!H2</f>
        <v>NO-GO (1 open)</v>
      </c>
    </row>
    <row r="13" customFormat="false" ht="15" hidden="false" customHeight="false" outlineLevel="0" collapsed="false">
      <c r="B13" s="12" t="str">
        <f aca="false">Gates!A3&amp;" · "&amp;Gates!B3</f>
        <v>G1 · Legal / compliance</v>
      </c>
      <c r="C13" s="13" t="n">
        <f aca="false">Gates!D3</f>
        <v>2</v>
      </c>
      <c r="D13" s="13" t="n">
        <f aca="false">Gates!E3</f>
        <v>1</v>
      </c>
      <c r="E13" s="13" t="n">
        <f aca="false">Gates!F3</f>
        <v>1</v>
      </c>
      <c r="F13" s="13" t="n">
        <f aca="false">Gates!G3</f>
        <v>2</v>
      </c>
      <c r="G13" s="13" t="str">
        <f aca="false">Gates!H3</f>
        <v>NO-GO (2 open)</v>
      </c>
    </row>
    <row r="14" customFormat="false" ht="15" hidden="false" customHeight="false" outlineLevel="0" collapsed="false">
      <c r="B14" s="12" t="str">
        <f aca="false">Gates!A4&amp;" · "&amp;Gates!B4</f>
        <v>G2 · Order loopt door</v>
      </c>
      <c r="C14" s="13" t="n">
        <f aca="false">Gates!D4</f>
        <v>3</v>
      </c>
      <c r="D14" s="13" t="n">
        <f aca="false">Gates!E4</f>
        <v>0</v>
      </c>
      <c r="E14" s="13" t="n">
        <f aca="false">Gates!F4</f>
        <v>0</v>
      </c>
      <c r="F14" s="13" t="n">
        <f aca="false">Gates!G4</f>
        <v>0</v>
      </c>
      <c r="G14" s="13" t="str">
        <f aca="false">Gates!H4</f>
        <v>GO</v>
      </c>
    </row>
    <row r="15" customFormat="false" ht="15" hidden="false" customHeight="false" outlineLevel="0" collapsed="false">
      <c r="B15" s="12" t="str">
        <f aca="false">Gates!A5&amp;" · "&amp;Gates!B5</f>
        <v>G3 · Verzending + T&amp;T</v>
      </c>
      <c r="C15" s="13" t="n">
        <f aca="false">Gates!D5</f>
        <v>1</v>
      </c>
      <c r="D15" s="13" t="n">
        <f aca="false">Gates!E5</f>
        <v>1</v>
      </c>
      <c r="E15" s="13" t="n">
        <f aca="false">Gates!F5</f>
        <v>1</v>
      </c>
      <c r="F15" s="13" t="n">
        <f aca="false">Gates!G5</f>
        <v>2</v>
      </c>
      <c r="G15" s="13" t="str">
        <f aca="false">Gates!H5</f>
        <v>NO-GO (2 open)</v>
      </c>
    </row>
    <row r="16" customFormat="false" ht="23.85" hidden="false" customHeight="false" outlineLevel="0" collapsed="false">
      <c r="B16" s="12" t="str">
        <f aca="false">Gates!A6&amp;" · "&amp;Gates!B6</f>
        <v>G4 · Factuur — GEEN go-live-blocker (besluit Hans 10-07; B2C niet verplicht, B2B binnen 6 mnd op verzoek)</v>
      </c>
      <c r="C16" s="13" t="n">
        <f aca="false">Gates!D6</f>
        <v>0</v>
      </c>
      <c r="D16" s="13" t="n">
        <f aca="false">Gates!E6</f>
        <v>0</v>
      </c>
      <c r="E16" s="13" t="n">
        <f aca="false">Gates!F6</f>
        <v>2</v>
      </c>
      <c r="F16" s="13" t="n">
        <f aca="false">Gates!G6</f>
        <v>0</v>
      </c>
      <c r="G16" s="13" t="str">
        <f aca="false">Gates!H6</f>
        <v>GO</v>
      </c>
    </row>
    <row r="17" customFormat="false" ht="15" hidden="false" customHeight="false" outlineLevel="0" collapsed="false">
      <c r="B17" s="12" t="str">
        <f aca="false">Gates!A7&amp;" · "&amp;Gates!B7</f>
        <v>G5 · Retour</v>
      </c>
      <c r="C17" s="13" t="n">
        <f aca="false">Gates!D7</f>
        <v>2</v>
      </c>
      <c r="D17" s="13" t="n">
        <f aca="false">Gates!E7</f>
        <v>1</v>
      </c>
      <c r="E17" s="13" t="n">
        <f aca="false">Gates!F7</f>
        <v>0</v>
      </c>
      <c r="F17" s="13" t="n">
        <f aca="false">Gates!G7</f>
        <v>1</v>
      </c>
      <c r="G17" s="13" t="str">
        <f aca="false">Gates!H7</f>
        <v>NO-GO (1 open)</v>
      </c>
    </row>
    <row r="18" customFormat="false" ht="15" hidden="false" customHeight="false" outlineLevel="0" collapsed="false">
      <c r="B18" s="12" t="str">
        <f aca="false">Gates!A8&amp;" · "&amp;Gates!B8</f>
        <v>G6 · Listings kloppen</v>
      </c>
      <c r="C18" s="13" t="n">
        <f aca="false">Gates!D8</f>
        <v>4</v>
      </c>
      <c r="D18" s="13" t="n">
        <f aca="false">Gates!E8</f>
        <v>1</v>
      </c>
      <c r="E18" s="13" t="n">
        <f aca="false">Gates!F8</f>
        <v>0</v>
      </c>
      <c r="F18" s="13" t="n">
        <f aca="false">Gates!G8</f>
        <v>0</v>
      </c>
      <c r="G18" s="13" t="str">
        <f aca="false">Gates!H8</f>
        <v>GO</v>
      </c>
    </row>
    <row r="19" customFormat="false" ht="15" hidden="false" customHeight="false" outlineLevel="0" collapsed="false">
      <c r="B19" s="12" t="str">
        <f aca="false">Gates!A9&amp;" · "&amp;Gates!B9</f>
        <v>G7 · Betaling &amp; policies</v>
      </c>
      <c r="C19" s="13" t="n">
        <f aca="false">Gates!D9</f>
        <v>1</v>
      </c>
      <c r="D19" s="13" t="n">
        <f aca="false">Gates!E9</f>
        <v>0</v>
      </c>
      <c r="E19" s="13" t="n">
        <f aca="false">Gates!F9</f>
        <v>1</v>
      </c>
      <c r="F19" s="13" t="n">
        <f aca="false">Gates!G9</f>
        <v>1</v>
      </c>
      <c r="G19" s="13" t="str">
        <f aca="false">Gates!H9</f>
        <v>NO-GO (1 open)</v>
      </c>
    </row>
    <row r="20" customFormat="false" ht="15" hidden="false" customHeight="false" outlineLevel="0" collapsed="false">
      <c r="B20" s="12" t="str">
        <f aca="false">Gates!A10&amp;" · "&amp;Gates!B10</f>
        <v>G8 · Eindtest + launch-week</v>
      </c>
      <c r="C20" s="13" t="n">
        <f aca="false">Gates!D10</f>
        <v>2</v>
      </c>
      <c r="D20" s="13" t="n">
        <f aca="false">Gates!E10</f>
        <v>2</v>
      </c>
      <c r="E20" s="13" t="n">
        <f aca="false">Gates!F10</f>
        <v>1</v>
      </c>
      <c r="F20" s="13" t="n">
        <f aca="false">Gates!G10</f>
        <v>3</v>
      </c>
      <c r="G20" s="13" t="str">
        <f aca="false">Gates!H10</f>
        <v>NO-GO (3 open)</v>
      </c>
    </row>
    <row r="22" customFormat="false" ht="15" hidden="false" customHeight="false" outlineLevel="0" collapsed="false">
      <c r="B22" s="14" t="s">
        <v>11</v>
      </c>
      <c r="C22" s="14"/>
      <c r="D22" s="14"/>
      <c r="E22" s="14"/>
      <c r="F22" s="14"/>
      <c r="G22" s="14"/>
    </row>
  </sheetData>
  <mergeCells count="4">
    <mergeCell ref="B2:H2"/>
    <mergeCell ref="B3:H3"/>
    <mergeCell ref="B8:H8"/>
    <mergeCell ref="B22:G22"/>
  </mergeCells>
  <conditionalFormatting sqref="B8">
    <cfRule type="expression" priority="2" aboveAverage="0" equalAverage="0" bottom="0" percent="0" rank="0" text="" dxfId="0">
      <formula>LEFT(B8,1)="✔"</formula>
    </cfRule>
    <cfRule type="expression" priority="3" aboveAverage="0" equalAverage="0" bottom="0" percent="0" rank="0" text="" dxfId="1">
      <formula>LEFT(B8,1)="✖"</formula>
    </cfRule>
  </conditionalFormatting>
  <conditionalFormatting sqref="G12:G20">
    <cfRule type="expression" priority="4" aboveAverage="0" equalAverage="0" bottom="0" percent="0" rank="0" text="" dxfId="2">
      <formula>LEFT(G12,2)="GO"</formula>
    </cfRule>
    <cfRule type="expression" priority="5" aboveAverage="0" equalAverage="0" bottom="0" percent="0" rank="0" text="" dxfId="3">
      <formula>LEFT(G12,2)="NO"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44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15" t="s">
        <v>9</v>
      </c>
      <c r="B1" s="15" t="s">
        <v>12</v>
      </c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10</v>
      </c>
      <c r="J1" s="15" t="s">
        <v>19</v>
      </c>
      <c r="K1" s="15" t="s">
        <v>20</v>
      </c>
    </row>
    <row r="2" customFormat="false" ht="23.85" hidden="false" customHeight="false" outlineLevel="0" collapsed="false">
      <c r="A2" s="16" t="s">
        <v>21</v>
      </c>
      <c r="B2" s="16" t="s">
        <v>22</v>
      </c>
      <c r="C2" s="16" t="s">
        <v>23</v>
      </c>
      <c r="D2" s="16" t="s">
        <v>24</v>
      </c>
      <c r="E2" s="16" t="s">
        <v>25</v>
      </c>
      <c r="F2" s="16" t="s">
        <v>26</v>
      </c>
      <c r="G2" s="16" t="s">
        <v>27</v>
      </c>
      <c r="H2" s="16" t="s">
        <v>28</v>
      </c>
      <c r="I2" s="16" t="s">
        <v>29</v>
      </c>
      <c r="J2" s="16" t="s">
        <v>30</v>
      </c>
      <c r="K2" s="16" t="s">
        <v>31</v>
      </c>
    </row>
    <row r="3" customFormat="false" ht="23.85" hidden="false" customHeight="false" outlineLevel="0" collapsed="false">
      <c r="A3" s="17" t="s">
        <v>21</v>
      </c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27</v>
      </c>
      <c r="H3" s="17" t="s">
        <v>28</v>
      </c>
      <c r="I3" s="17" t="s">
        <v>29</v>
      </c>
      <c r="J3" s="17" t="s">
        <v>37</v>
      </c>
      <c r="K3" s="17" t="s">
        <v>31</v>
      </c>
    </row>
    <row r="4" customFormat="false" ht="35.05" hidden="false" customHeight="false" outlineLevel="0" collapsed="false">
      <c r="A4" s="16" t="s">
        <v>21</v>
      </c>
      <c r="B4" s="16" t="s">
        <v>38</v>
      </c>
      <c r="C4" s="16" t="s">
        <v>39</v>
      </c>
      <c r="D4" s="16" t="s">
        <v>40</v>
      </c>
      <c r="E4" s="16" t="s">
        <v>41</v>
      </c>
      <c r="F4" s="16" t="s">
        <v>42</v>
      </c>
      <c r="G4" s="16" t="s">
        <v>27</v>
      </c>
      <c r="H4" s="16" t="s">
        <v>28</v>
      </c>
      <c r="I4" s="16" t="s">
        <v>43</v>
      </c>
      <c r="J4" s="16" t="s">
        <v>44</v>
      </c>
      <c r="K4" s="16" t="s">
        <v>31</v>
      </c>
    </row>
    <row r="5" customFormat="false" ht="35.05" hidden="false" customHeight="false" outlineLevel="0" collapsed="false">
      <c r="A5" s="17" t="s">
        <v>21</v>
      </c>
      <c r="B5" s="17" t="s">
        <v>45</v>
      </c>
      <c r="C5" s="17" t="s">
        <v>46</v>
      </c>
      <c r="D5" s="17" t="s">
        <v>47</v>
      </c>
      <c r="E5" s="17" t="s">
        <v>48</v>
      </c>
      <c r="F5" s="17" t="s">
        <v>42</v>
      </c>
      <c r="G5" s="17" t="s">
        <v>27</v>
      </c>
      <c r="H5" s="17" t="s">
        <v>28</v>
      </c>
      <c r="I5" s="17" t="s">
        <v>29</v>
      </c>
      <c r="J5" s="17" t="s">
        <v>49</v>
      </c>
      <c r="K5" s="17" t="s">
        <v>31</v>
      </c>
    </row>
    <row r="6" customFormat="false" ht="15" hidden="false" customHeight="false" outlineLevel="0" collapsed="false">
      <c r="A6" s="16" t="s">
        <v>50</v>
      </c>
      <c r="B6" s="16" t="s">
        <v>51</v>
      </c>
      <c r="C6" s="16" t="s">
        <v>52</v>
      </c>
      <c r="D6" s="16" t="s">
        <v>53</v>
      </c>
      <c r="E6" s="16" t="s">
        <v>54</v>
      </c>
      <c r="F6" s="16" t="s">
        <v>55</v>
      </c>
      <c r="G6" s="16" t="s">
        <v>27</v>
      </c>
      <c r="H6" s="16" t="s">
        <v>28</v>
      </c>
      <c r="I6" s="16" t="s">
        <v>43</v>
      </c>
      <c r="J6" s="16" t="s">
        <v>56</v>
      </c>
      <c r="K6" s="16" t="s">
        <v>31</v>
      </c>
    </row>
    <row r="7" customFormat="false" ht="23.85" hidden="false" customHeight="false" outlineLevel="0" collapsed="false">
      <c r="A7" s="17" t="s">
        <v>50</v>
      </c>
      <c r="B7" s="17" t="s">
        <v>57</v>
      </c>
      <c r="C7" s="17" t="s">
        <v>58</v>
      </c>
      <c r="D7" s="17" t="s">
        <v>59</v>
      </c>
      <c r="E7" s="17" t="s">
        <v>60</v>
      </c>
      <c r="F7" s="17" t="s">
        <v>55</v>
      </c>
      <c r="G7" s="17" t="s">
        <v>27</v>
      </c>
      <c r="H7" s="17" t="s">
        <v>28</v>
      </c>
      <c r="I7" s="17" t="s">
        <v>61</v>
      </c>
      <c r="J7" s="17" t="s">
        <v>62</v>
      </c>
      <c r="K7" s="17" t="s">
        <v>31</v>
      </c>
    </row>
    <row r="8" customFormat="false" ht="23.85" hidden="false" customHeight="false" outlineLevel="0" collapsed="false">
      <c r="A8" s="16" t="s">
        <v>50</v>
      </c>
      <c r="B8" s="16" t="s">
        <v>63</v>
      </c>
      <c r="C8" s="16" t="s">
        <v>64</v>
      </c>
      <c r="D8" s="16" t="s">
        <v>65</v>
      </c>
      <c r="E8" s="16" t="s">
        <v>66</v>
      </c>
      <c r="F8" s="16" t="s">
        <v>55</v>
      </c>
      <c r="G8" s="16" t="s">
        <v>27</v>
      </c>
      <c r="H8" s="16" t="s">
        <v>28</v>
      </c>
      <c r="I8" s="16" t="s">
        <v>29</v>
      </c>
      <c r="J8" s="16" t="s">
        <v>67</v>
      </c>
      <c r="K8" s="16" t="s">
        <v>31</v>
      </c>
    </row>
    <row r="9" customFormat="false" ht="23.85" hidden="false" customHeight="false" outlineLevel="0" collapsed="false">
      <c r="A9" s="17" t="s">
        <v>50</v>
      </c>
      <c r="B9" s="17" t="s">
        <v>68</v>
      </c>
      <c r="C9" s="17" t="s">
        <v>69</v>
      </c>
      <c r="D9" s="17" t="s">
        <v>70</v>
      </c>
      <c r="E9" s="17" t="s">
        <v>71</v>
      </c>
      <c r="F9" s="17" t="s">
        <v>42</v>
      </c>
      <c r="G9" s="17" t="s">
        <v>27</v>
      </c>
      <c r="H9" s="17" t="s">
        <v>28</v>
      </c>
      <c r="I9" s="17" t="s">
        <v>29</v>
      </c>
      <c r="J9" s="17" t="s">
        <v>72</v>
      </c>
      <c r="K9" s="17" t="s">
        <v>31</v>
      </c>
    </row>
    <row r="10" customFormat="false" ht="23.85" hidden="false" customHeight="false" outlineLevel="0" collapsed="false">
      <c r="A10" s="16" t="s">
        <v>73</v>
      </c>
      <c r="B10" s="16" t="s">
        <v>74</v>
      </c>
      <c r="C10" s="16" t="s">
        <v>75</v>
      </c>
      <c r="D10" s="16" t="s">
        <v>76</v>
      </c>
      <c r="E10" s="16" t="s">
        <v>77</v>
      </c>
      <c r="F10" s="16" t="s">
        <v>36</v>
      </c>
      <c r="G10" s="16" t="s">
        <v>27</v>
      </c>
      <c r="H10" s="16" t="s">
        <v>28</v>
      </c>
      <c r="I10" s="16" t="s">
        <v>29</v>
      </c>
      <c r="J10" s="16" t="s">
        <v>78</v>
      </c>
      <c r="K10" s="16" t="s">
        <v>31</v>
      </c>
    </row>
    <row r="11" customFormat="false" ht="23.85" hidden="false" customHeight="false" outlineLevel="0" collapsed="false">
      <c r="A11" s="17" t="s">
        <v>73</v>
      </c>
      <c r="B11" s="17" t="s">
        <v>79</v>
      </c>
      <c r="C11" s="17" t="s">
        <v>80</v>
      </c>
      <c r="D11" s="17" t="s">
        <v>81</v>
      </c>
      <c r="E11" s="17" t="s">
        <v>82</v>
      </c>
      <c r="F11" s="17" t="s">
        <v>42</v>
      </c>
      <c r="G11" s="17" t="s">
        <v>27</v>
      </c>
      <c r="H11" s="17" t="s">
        <v>28</v>
      </c>
      <c r="I11" s="17" t="s">
        <v>29</v>
      </c>
      <c r="J11" s="17" t="s">
        <v>83</v>
      </c>
      <c r="K11" s="17" t="s">
        <v>84</v>
      </c>
    </row>
    <row r="12" customFormat="false" ht="23.85" hidden="false" customHeight="false" outlineLevel="0" collapsed="false">
      <c r="A12" s="16" t="s">
        <v>73</v>
      </c>
      <c r="B12" s="16" t="s">
        <v>85</v>
      </c>
      <c r="C12" s="16" t="s">
        <v>86</v>
      </c>
      <c r="D12" s="16" t="s">
        <v>87</v>
      </c>
      <c r="E12" s="16" t="s">
        <v>88</v>
      </c>
      <c r="F12" s="16" t="s">
        <v>89</v>
      </c>
      <c r="G12" s="16" t="s">
        <v>27</v>
      </c>
      <c r="H12" s="16" t="s">
        <v>28</v>
      </c>
      <c r="I12" s="16" t="s">
        <v>29</v>
      </c>
      <c r="J12" s="16" t="s">
        <v>90</v>
      </c>
      <c r="K12" s="16" t="s">
        <v>31</v>
      </c>
    </row>
    <row r="13" customFormat="false" ht="23.85" hidden="false" customHeight="false" outlineLevel="0" collapsed="false">
      <c r="A13" s="17" t="s">
        <v>91</v>
      </c>
      <c r="B13" s="17" t="s">
        <v>92</v>
      </c>
      <c r="C13" s="17" t="s">
        <v>93</v>
      </c>
      <c r="D13" s="17" t="s">
        <v>94</v>
      </c>
      <c r="E13" s="17" t="s">
        <v>95</v>
      </c>
      <c r="F13" s="17" t="s">
        <v>42</v>
      </c>
      <c r="G13" s="17" t="s">
        <v>27</v>
      </c>
      <c r="H13" s="17" t="s">
        <v>28</v>
      </c>
      <c r="I13" s="17" t="s">
        <v>43</v>
      </c>
      <c r="J13" s="17"/>
      <c r="K13" s="17" t="s">
        <v>31</v>
      </c>
    </row>
    <row r="14" customFormat="false" ht="46.25" hidden="false" customHeight="false" outlineLevel="0" collapsed="false">
      <c r="A14" s="16" t="s">
        <v>91</v>
      </c>
      <c r="B14" s="16" t="s">
        <v>96</v>
      </c>
      <c r="C14" s="16" t="s">
        <v>97</v>
      </c>
      <c r="D14" s="16" t="s">
        <v>98</v>
      </c>
      <c r="E14" s="16" t="s">
        <v>99</v>
      </c>
      <c r="F14" s="16" t="s">
        <v>100</v>
      </c>
      <c r="G14" s="16" t="s">
        <v>27</v>
      </c>
      <c r="H14" s="16" t="s">
        <v>28</v>
      </c>
      <c r="I14" s="16" t="s">
        <v>29</v>
      </c>
      <c r="J14" s="16" t="s">
        <v>101</v>
      </c>
      <c r="K14" s="16" t="s">
        <v>31</v>
      </c>
    </row>
    <row r="15" customFormat="false" ht="23.85" hidden="false" customHeight="false" outlineLevel="0" collapsed="false">
      <c r="A15" s="17" t="s">
        <v>91</v>
      </c>
      <c r="B15" s="17" t="s">
        <v>102</v>
      </c>
      <c r="C15" s="17" t="s">
        <v>103</v>
      </c>
      <c r="D15" s="17" t="s">
        <v>104</v>
      </c>
      <c r="E15" s="17" t="s">
        <v>105</v>
      </c>
      <c r="F15" s="17" t="s">
        <v>42</v>
      </c>
      <c r="G15" s="17" t="s">
        <v>27</v>
      </c>
      <c r="H15" s="17" t="s">
        <v>28</v>
      </c>
      <c r="I15" s="17" t="s">
        <v>61</v>
      </c>
      <c r="J15" s="17" t="s">
        <v>106</v>
      </c>
      <c r="K15" s="17" t="s">
        <v>31</v>
      </c>
    </row>
    <row r="16" customFormat="false" ht="23.85" hidden="false" customHeight="false" outlineLevel="0" collapsed="false">
      <c r="A16" s="16" t="s">
        <v>107</v>
      </c>
      <c r="B16" s="16" t="s">
        <v>108</v>
      </c>
      <c r="C16" s="16" t="s">
        <v>109</v>
      </c>
      <c r="D16" s="16" t="s">
        <v>110</v>
      </c>
      <c r="E16" s="16" t="s">
        <v>111</v>
      </c>
      <c r="F16" s="16" t="s">
        <v>55</v>
      </c>
      <c r="G16" s="16" t="s">
        <v>112</v>
      </c>
      <c r="H16" s="16" t="s">
        <v>113</v>
      </c>
      <c r="I16" s="16" t="s">
        <v>43</v>
      </c>
      <c r="J16" s="16" t="s">
        <v>114</v>
      </c>
      <c r="K16" s="16" t="s">
        <v>31</v>
      </c>
    </row>
    <row r="17" customFormat="false" ht="15" hidden="false" customHeight="false" outlineLevel="0" collapsed="false">
      <c r="A17" s="17" t="s">
        <v>107</v>
      </c>
      <c r="B17" s="17" t="s">
        <v>115</v>
      </c>
      <c r="C17" s="17" t="s">
        <v>116</v>
      </c>
      <c r="D17" s="17" t="s">
        <v>117</v>
      </c>
      <c r="E17" s="17" t="s">
        <v>105</v>
      </c>
      <c r="F17" s="17" t="s">
        <v>42</v>
      </c>
      <c r="G17" s="17" t="s">
        <v>112</v>
      </c>
      <c r="H17" s="17" t="s">
        <v>113</v>
      </c>
      <c r="I17" s="17" t="s">
        <v>43</v>
      </c>
      <c r="J17" s="17" t="s">
        <v>118</v>
      </c>
      <c r="K17" s="17" t="s">
        <v>31</v>
      </c>
    </row>
    <row r="18" customFormat="false" ht="15" hidden="false" customHeight="false" outlineLevel="0" collapsed="false">
      <c r="A18" s="16" t="s">
        <v>119</v>
      </c>
      <c r="B18" s="16" t="s">
        <v>120</v>
      </c>
      <c r="C18" s="16" t="s">
        <v>121</v>
      </c>
      <c r="D18" s="16" t="s">
        <v>122</v>
      </c>
      <c r="E18" s="16" t="s">
        <v>123</v>
      </c>
      <c r="F18" s="16" t="s">
        <v>42</v>
      </c>
      <c r="G18" s="16" t="s">
        <v>27</v>
      </c>
      <c r="H18" s="16" t="s">
        <v>28</v>
      </c>
      <c r="I18" s="16" t="s">
        <v>29</v>
      </c>
      <c r="J18" s="16" t="s">
        <v>124</v>
      </c>
      <c r="K18" s="16" t="s">
        <v>31</v>
      </c>
    </row>
    <row r="19" customFormat="false" ht="23.85" hidden="false" customHeight="false" outlineLevel="0" collapsed="false">
      <c r="A19" s="17" t="s">
        <v>119</v>
      </c>
      <c r="B19" s="17" t="s">
        <v>125</v>
      </c>
      <c r="C19" s="17" t="s">
        <v>126</v>
      </c>
      <c r="D19" s="17" t="s">
        <v>127</v>
      </c>
      <c r="E19" s="17" t="s">
        <v>128</v>
      </c>
      <c r="F19" s="17" t="s">
        <v>42</v>
      </c>
      <c r="G19" s="17" t="s">
        <v>27</v>
      </c>
      <c r="H19" s="17" t="s">
        <v>28</v>
      </c>
      <c r="I19" s="17" t="s">
        <v>61</v>
      </c>
      <c r="J19" s="17" t="s">
        <v>129</v>
      </c>
      <c r="K19" s="17" t="s">
        <v>31</v>
      </c>
    </row>
    <row r="20" customFormat="false" ht="23.85" hidden="false" customHeight="false" outlineLevel="0" collapsed="false">
      <c r="A20" s="16" t="s">
        <v>119</v>
      </c>
      <c r="B20" s="16" t="s">
        <v>130</v>
      </c>
      <c r="C20" s="16" t="s">
        <v>131</v>
      </c>
      <c r="D20" s="16" t="s">
        <v>132</v>
      </c>
      <c r="E20" s="16" t="s">
        <v>60</v>
      </c>
      <c r="F20" s="16" t="s">
        <v>55</v>
      </c>
      <c r="G20" s="16" t="s">
        <v>27</v>
      </c>
      <c r="H20" s="16" t="s">
        <v>28</v>
      </c>
      <c r="I20" s="16" t="s">
        <v>29</v>
      </c>
      <c r="J20" s="16" t="s">
        <v>133</v>
      </c>
      <c r="K20" s="16" t="s">
        <v>31</v>
      </c>
    </row>
    <row r="21" customFormat="false" ht="15" hidden="false" customHeight="false" outlineLevel="0" collapsed="false">
      <c r="A21" s="17" t="s">
        <v>134</v>
      </c>
      <c r="B21" s="17" t="s">
        <v>135</v>
      </c>
      <c r="C21" s="17" t="s">
        <v>136</v>
      </c>
      <c r="D21" s="17" t="s">
        <v>137</v>
      </c>
      <c r="E21" s="17" t="s">
        <v>138</v>
      </c>
      <c r="F21" s="17" t="s">
        <v>42</v>
      </c>
      <c r="G21" s="17" t="s">
        <v>27</v>
      </c>
      <c r="H21" s="17" t="s">
        <v>28</v>
      </c>
      <c r="I21" s="17" t="s">
        <v>29</v>
      </c>
      <c r="J21" s="17" t="s">
        <v>139</v>
      </c>
      <c r="K21" s="17" t="s">
        <v>84</v>
      </c>
    </row>
    <row r="22" customFormat="false" ht="15" hidden="false" customHeight="false" outlineLevel="0" collapsed="false">
      <c r="A22" s="16" t="s">
        <v>134</v>
      </c>
      <c r="B22" s="16" t="s">
        <v>140</v>
      </c>
      <c r="C22" s="16" t="s">
        <v>141</v>
      </c>
      <c r="D22" s="16" t="s">
        <v>142</v>
      </c>
      <c r="E22" s="16" t="s">
        <v>143</v>
      </c>
      <c r="F22" s="16" t="s">
        <v>42</v>
      </c>
      <c r="G22" s="16" t="s">
        <v>27</v>
      </c>
      <c r="H22" s="16" t="s">
        <v>28</v>
      </c>
      <c r="I22" s="16" t="s">
        <v>29</v>
      </c>
      <c r="J22" s="16" t="s">
        <v>144</v>
      </c>
      <c r="K22" s="16" t="s">
        <v>84</v>
      </c>
    </row>
    <row r="23" customFormat="false" ht="23.85" hidden="false" customHeight="false" outlineLevel="0" collapsed="false">
      <c r="A23" s="17" t="s">
        <v>134</v>
      </c>
      <c r="B23" s="17" t="s">
        <v>145</v>
      </c>
      <c r="C23" s="17" t="s">
        <v>146</v>
      </c>
      <c r="D23" s="17" t="s">
        <v>147</v>
      </c>
      <c r="E23" s="17" t="s">
        <v>148</v>
      </c>
      <c r="F23" s="17" t="s">
        <v>42</v>
      </c>
      <c r="G23" s="17" t="s">
        <v>27</v>
      </c>
      <c r="H23" s="17" t="s">
        <v>28</v>
      </c>
      <c r="I23" s="17" t="s">
        <v>29</v>
      </c>
      <c r="J23" s="17" t="s">
        <v>149</v>
      </c>
      <c r="K23" s="17" t="s">
        <v>31</v>
      </c>
    </row>
    <row r="24" customFormat="false" ht="35.05" hidden="false" customHeight="false" outlineLevel="0" collapsed="false">
      <c r="A24" s="16" t="s">
        <v>134</v>
      </c>
      <c r="B24" s="16" t="s">
        <v>150</v>
      </c>
      <c r="C24" s="16" t="s">
        <v>151</v>
      </c>
      <c r="D24" s="16" t="s">
        <v>152</v>
      </c>
      <c r="E24" s="16" t="s">
        <v>153</v>
      </c>
      <c r="F24" s="16" t="s">
        <v>42</v>
      </c>
      <c r="G24" s="16" t="s">
        <v>27</v>
      </c>
      <c r="H24" s="16" t="s">
        <v>28</v>
      </c>
      <c r="I24" s="16" t="s">
        <v>29</v>
      </c>
      <c r="J24" s="16" t="s">
        <v>154</v>
      </c>
      <c r="K24" s="16" t="s">
        <v>31</v>
      </c>
    </row>
    <row r="25" customFormat="false" ht="35.05" hidden="false" customHeight="false" outlineLevel="0" collapsed="false">
      <c r="A25" s="17" t="s">
        <v>134</v>
      </c>
      <c r="B25" s="17" t="s">
        <v>155</v>
      </c>
      <c r="C25" s="17" t="s">
        <v>156</v>
      </c>
      <c r="D25" s="17" t="s">
        <v>157</v>
      </c>
      <c r="E25" s="17" t="s">
        <v>158</v>
      </c>
      <c r="F25" s="17" t="s">
        <v>42</v>
      </c>
      <c r="G25" s="17" t="s">
        <v>27</v>
      </c>
      <c r="H25" s="17" t="s">
        <v>113</v>
      </c>
      <c r="I25" s="17" t="s">
        <v>61</v>
      </c>
      <c r="J25" s="17" t="s">
        <v>159</v>
      </c>
      <c r="K25" s="17" t="s">
        <v>31</v>
      </c>
    </row>
    <row r="26" customFormat="false" ht="23.85" hidden="false" customHeight="false" outlineLevel="0" collapsed="false">
      <c r="A26" s="16" t="s">
        <v>160</v>
      </c>
      <c r="B26" s="16" t="s">
        <v>161</v>
      </c>
      <c r="C26" s="16" t="s">
        <v>162</v>
      </c>
      <c r="D26" s="16" t="s">
        <v>163</v>
      </c>
      <c r="E26" s="16" t="s">
        <v>123</v>
      </c>
      <c r="F26" s="16" t="s">
        <v>42</v>
      </c>
      <c r="G26" s="16" t="s">
        <v>27</v>
      </c>
      <c r="H26" s="16" t="s">
        <v>28</v>
      </c>
      <c r="I26" s="16" t="s">
        <v>43</v>
      </c>
      <c r="J26" s="16"/>
      <c r="K26" s="16" t="s">
        <v>31</v>
      </c>
    </row>
    <row r="27" customFormat="false" ht="23.85" hidden="false" customHeight="false" outlineLevel="0" collapsed="false">
      <c r="A27" s="17" t="s">
        <v>160</v>
      </c>
      <c r="B27" s="17" t="s">
        <v>164</v>
      </c>
      <c r="C27" s="17" t="s">
        <v>165</v>
      </c>
      <c r="D27" s="17" t="s">
        <v>166</v>
      </c>
      <c r="E27" s="17" t="s">
        <v>123</v>
      </c>
      <c r="F27" s="17" t="s">
        <v>42</v>
      </c>
      <c r="G27" s="17" t="s">
        <v>27</v>
      </c>
      <c r="H27" s="17" t="s">
        <v>28</v>
      </c>
      <c r="I27" s="17" t="s">
        <v>29</v>
      </c>
      <c r="J27" s="17" t="s">
        <v>124</v>
      </c>
      <c r="K27" s="17" t="s">
        <v>31</v>
      </c>
    </row>
    <row r="28" customFormat="false" ht="23.85" hidden="false" customHeight="false" outlineLevel="0" collapsed="false">
      <c r="A28" s="16" t="s">
        <v>167</v>
      </c>
      <c r="B28" s="16" t="s">
        <v>168</v>
      </c>
      <c r="C28" s="16" t="s">
        <v>169</v>
      </c>
      <c r="D28" s="16" t="s">
        <v>170</v>
      </c>
      <c r="E28" s="16" t="s">
        <v>171</v>
      </c>
      <c r="F28" s="16" t="s">
        <v>42</v>
      </c>
      <c r="G28" s="16" t="s">
        <v>27</v>
      </c>
      <c r="H28" s="16" t="s">
        <v>28</v>
      </c>
      <c r="I28" s="16" t="s">
        <v>43</v>
      </c>
      <c r="J28" s="16"/>
      <c r="K28" s="16" t="s">
        <v>31</v>
      </c>
    </row>
    <row r="29" customFormat="false" ht="23.85" hidden="false" customHeight="false" outlineLevel="0" collapsed="false">
      <c r="A29" s="17" t="s">
        <v>167</v>
      </c>
      <c r="B29" s="17" t="s">
        <v>172</v>
      </c>
      <c r="C29" s="17" t="s">
        <v>173</v>
      </c>
      <c r="D29" s="17" t="s">
        <v>174</v>
      </c>
      <c r="E29" s="17" t="s">
        <v>175</v>
      </c>
      <c r="F29" s="17" t="s">
        <v>42</v>
      </c>
      <c r="G29" s="17" t="s">
        <v>27</v>
      </c>
      <c r="H29" s="17" t="s">
        <v>28</v>
      </c>
      <c r="I29" s="17" t="s">
        <v>61</v>
      </c>
      <c r="J29" s="17" t="s">
        <v>176</v>
      </c>
      <c r="K29" s="17" t="s">
        <v>31</v>
      </c>
    </row>
    <row r="30" customFormat="false" ht="23.85" hidden="false" customHeight="false" outlineLevel="0" collapsed="false">
      <c r="A30" s="16" t="s">
        <v>167</v>
      </c>
      <c r="B30" s="16" t="s">
        <v>177</v>
      </c>
      <c r="C30" s="16" t="s">
        <v>178</v>
      </c>
      <c r="D30" s="16" t="s">
        <v>179</v>
      </c>
      <c r="E30" s="16" t="s">
        <v>175</v>
      </c>
      <c r="F30" s="16" t="s">
        <v>42</v>
      </c>
      <c r="G30" s="16" t="s">
        <v>27</v>
      </c>
      <c r="H30" s="16" t="s">
        <v>28</v>
      </c>
      <c r="I30" s="16" t="s">
        <v>61</v>
      </c>
      <c r="J30" s="16" t="s">
        <v>180</v>
      </c>
      <c r="K30" s="16" t="s">
        <v>31</v>
      </c>
    </row>
    <row r="31" customFormat="false" ht="23.85" hidden="false" customHeight="false" outlineLevel="0" collapsed="false">
      <c r="A31" s="17" t="s">
        <v>167</v>
      </c>
      <c r="B31" s="17" t="s">
        <v>181</v>
      </c>
      <c r="C31" s="17" t="s">
        <v>182</v>
      </c>
      <c r="D31" s="17" t="s">
        <v>183</v>
      </c>
      <c r="E31" s="17" t="s">
        <v>184</v>
      </c>
      <c r="F31" s="17" t="s">
        <v>185</v>
      </c>
      <c r="G31" s="17" t="s">
        <v>27</v>
      </c>
      <c r="H31" s="17" t="s">
        <v>28</v>
      </c>
      <c r="I31" s="17" t="s">
        <v>29</v>
      </c>
      <c r="J31" s="17" t="s">
        <v>186</v>
      </c>
      <c r="K31" s="17" t="s">
        <v>31</v>
      </c>
    </row>
    <row r="32" customFormat="false" ht="23.85" hidden="false" customHeight="false" outlineLevel="0" collapsed="false">
      <c r="A32" s="16" t="s">
        <v>167</v>
      </c>
      <c r="B32" s="16" t="s">
        <v>187</v>
      </c>
      <c r="C32" s="16" t="s">
        <v>188</v>
      </c>
      <c r="D32" s="16" t="s">
        <v>189</v>
      </c>
      <c r="E32" s="16" t="s">
        <v>60</v>
      </c>
      <c r="F32" s="16" t="s">
        <v>36</v>
      </c>
      <c r="G32" s="16" t="s">
        <v>112</v>
      </c>
      <c r="H32" s="16" t="s">
        <v>113</v>
      </c>
      <c r="I32" s="16" t="s">
        <v>29</v>
      </c>
      <c r="J32" s="16" t="s">
        <v>190</v>
      </c>
      <c r="K32" s="16" t="s">
        <v>31</v>
      </c>
    </row>
  </sheetData>
  <autoFilter ref="A1:K32"/>
  <conditionalFormatting sqref="I2:I32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15">
      <formula>"doing"</formula>
    </cfRule>
    <cfRule type="cellIs" priority="4" operator="equal" aboveAverage="0" equalAverage="0" bottom="0" percent="0" rank="0" text="" dxfId="3">
      <formula>"todo"</formula>
    </cfRule>
  </conditionalFormatting>
  <conditionalFormatting sqref="A2:K32">
    <cfRule type="expression" priority="5" aboveAverage="0" equalAverage="0" bottom="0" percent="0" rank="0" text="" dxfId="16">
      <formula>$H2="Nee"</formula>
    </cfRule>
  </conditionalFormatting>
  <dataValidations count="2">
    <dataValidation allowBlank="false" errorStyle="stop" operator="between" showDropDown="false" showErrorMessage="false" showInputMessage="false" sqref="I2:I32" type="list">
      <formula1>"todo,doing,done"</formula1>
      <formula2>0</formula2>
    </dataValidation>
    <dataValidation allowBlank="false" errorStyle="stop" operator="between" showDropDown="false" showErrorMessage="false" showInputMessage="false" sqref="H2:H32" type="list">
      <formula1>"Ja,Nee"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6" min="3" style="0" width="8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23.85" hidden="false" customHeight="false" outlineLevel="0" collapsed="false">
      <c r="A1" s="15" t="s">
        <v>9</v>
      </c>
      <c r="B1" s="15" t="s">
        <v>191</v>
      </c>
      <c r="C1" s="15" t="s">
        <v>192</v>
      </c>
      <c r="D1" s="15" t="s">
        <v>3</v>
      </c>
      <c r="E1" s="15" t="s">
        <v>4</v>
      </c>
      <c r="F1" s="15" t="s">
        <v>5</v>
      </c>
      <c r="G1" s="15" t="s">
        <v>7</v>
      </c>
      <c r="H1" s="15" t="s">
        <v>193</v>
      </c>
    </row>
    <row r="2" customFormat="false" ht="15" hidden="false" customHeight="false" outlineLevel="0" collapsed="false">
      <c r="A2" s="18" t="s">
        <v>194</v>
      </c>
      <c r="B2" s="17" t="s">
        <v>195</v>
      </c>
      <c r="C2" s="18" t="n">
        <f aca="false">COUNTIF(Checklist!$A$2:$A$32,"G0 ·*")</f>
        <v>4</v>
      </c>
      <c r="D2" s="18" t="n">
        <f aca="false">COUNTIFS(Checklist!$A$2:$A$32,"G0 ·*",Checklist!$I$2:$I$32,"done")</f>
        <v>3</v>
      </c>
      <c r="E2" s="18" t="n">
        <f aca="false">COUNTIFS(Checklist!$A$2:$A$32,"G0 ·*",Checklist!$I$2:$I$32,"doing")</f>
        <v>0</v>
      </c>
      <c r="F2" s="18" t="n">
        <f aca="false">COUNTIFS(Checklist!$A$2:$A$32,"G0 ·*",Checklist!$I$2:$I$32,"todo")</f>
        <v>1</v>
      </c>
      <c r="G2" s="18" t="n">
        <f aca="false">COUNTIFS(Checklist!$A$2:$A$32,"G0 ·*",Checklist!$H$2:$H$32,"Ja",Checklist!$I$2:$I$32,"&lt;&gt;done")</f>
        <v>1</v>
      </c>
      <c r="H2" s="18" t="str">
        <f aca="false">IF(G2=0,"GO","NO-GO ("&amp;G2&amp;" open)")</f>
        <v>NO-GO (1 open)</v>
      </c>
    </row>
    <row r="3" customFormat="false" ht="15" hidden="false" customHeight="false" outlineLevel="0" collapsed="false">
      <c r="A3" s="18" t="s">
        <v>196</v>
      </c>
      <c r="B3" s="17" t="s">
        <v>197</v>
      </c>
      <c r="C3" s="18" t="n">
        <f aca="false">COUNTIF(Checklist!$A$2:$A$32,"G1 ·*")</f>
        <v>4</v>
      </c>
      <c r="D3" s="18" t="n">
        <f aca="false">COUNTIFS(Checklist!$A$2:$A$32,"G1 ·*",Checklist!$I$2:$I$32,"done")</f>
        <v>2</v>
      </c>
      <c r="E3" s="18" t="n">
        <f aca="false">COUNTIFS(Checklist!$A$2:$A$32,"G1 ·*",Checklist!$I$2:$I$32,"doing")</f>
        <v>1</v>
      </c>
      <c r="F3" s="18" t="n">
        <f aca="false">COUNTIFS(Checklist!$A$2:$A$32,"G1 ·*",Checklist!$I$2:$I$32,"todo")</f>
        <v>1</v>
      </c>
      <c r="G3" s="18" t="n">
        <f aca="false">COUNTIFS(Checklist!$A$2:$A$32,"G1 ·*",Checklist!$H$2:$H$32,"Ja",Checklist!$I$2:$I$32,"&lt;&gt;done")</f>
        <v>2</v>
      </c>
      <c r="H3" s="18" t="str">
        <f aca="false">IF(G3=0,"GO","NO-GO ("&amp;G3&amp;" open)")</f>
        <v>NO-GO (2 open)</v>
      </c>
    </row>
    <row r="4" customFormat="false" ht="15" hidden="false" customHeight="false" outlineLevel="0" collapsed="false">
      <c r="A4" s="18" t="s">
        <v>198</v>
      </c>
      <c r="B4" s="17" t="s">
        <v>199</v>
      </c>
      <c r="C4" s="18" t="n">
        <f aca="false">COUNTIF(Checklist!$A$2:$A$32,"G2 ·*")</f>
        <v>3</v>
      </c>
      <c r="D4" s="18" t="n">
        <f aca="false">COUNTIFS(Checklist!$A$2:$A$32,"G2 ·*",Checklist!$I$2:$I$32,"done")</f>
        <v>3</v>
      </c>
      <c r="E4" s="18" t="n">
        <f aca="false">COUNTIFS(Checklist!$A$2:$A$32,"G2 ·*",Checklist!$I$2:$I$32,"doing")</f>
        <v>0</v>
      </c>
      <c r="F4" s="18" t="n">
        <f aca="false">COUNTIFS(Checklist!$A$2:$A$32,"G2 ·*",Checklist!$I$2:$I$32,"todo")</f>
        <v>0</v>
      </c>
      <c r="G4" s="18" t="n">
        <f aca="false">COUNTIFS(Checklist!$A$2:$A$32,"G2 ·*",Checklist!$H$2:$H$32,"Ja",Checklist!$I$2:$I$32,"&lt;&gt;done")</f>
        <v>0</v>
      </c>
      <c r="H4" s="18" t="str">
        <f aca="false">IF(G4=0,"GO","NO-GO ("&amp;G4&amp;" open)")</f>
        <v>GO</v>
      </c>
    </row>
    <row r="5" customFormat="false" ht="15" hidden="false" customHeight="false" outlineLevel="0" collapsed="false">
      <c r="A5" s="18" t="s">
        <v>200</v>
      </c>
      <c r="B5" s="17" t="s">
        <v>201</v>
      </c>
      <c r="C5" s="18" t="n">
        <f aca="false">COUNTIF(Checklist!$A$2:$A$32,"G3 ·*")</f>
        <v>3</v>
      </c>
      <c r="D5" s="18" t="n">
        <f aca="false">COUNTIFS(Checklist!$A$2:$A$32,"G3 ·*",Checklist!$I$2:$I$32,"done")</f>
        <v>1</v>
      </c>
      <c r="E5" s="18" t="n">
        <f aca="false">COUNTIFS(Checklist!$A$2:$A$32,"G3 ·*",Checklist!$I$2:$I$32,"doing")</f>
        <v>1</v>
      </c>
      <c r="F5" s="18" t="n">
        <f aca="false">COUNTIFS(Checklist!$A$2:$A$32,"G3 ·*",Checklist!$I$2:$I$32,"todo")</f>
        <v>1</v>
      </c>
      <c r="G5" s="18" t="n">
        <f aca="false">COUNTIFS(Checklist!$A$2:$A$32,"G3 ·*",Checklist!$H$2:$H$32,"Ja",Checklist!$I$2:$I$32,"&lt;&gt;done")</f>
        <v>2</v>
      </c>
      <c r="H5" s="18" t="str">
        <f aca="false">IF(G5=0,"GO","NO-GO ("&amp;G5&amp;" open)")</f>
        <v>NO-GO (2 open)</v>
      </c>
    </row>
    <row r="6" customFormat="false" ht="23.85" hidden="false" customHeight="false" outlineLevel="0" collapsed="false">
      <c r="A6" s="18" t="s">
        <v>202</v>
      </c>
      <c r="B6" s="17" t="s">
        <v>203</v>
      </c>
      <c r="C6" s="18" t="n">
        <f aca="false">COUNTIF(Checklist!$A$2:$A$32,"G4 ·*")</f>
        <v>2</v>
      </c>
      <c r="D6" s="18" t="n">
        <f aca="false">COUNTIFS(Checklist!$A$2:$A$32,"G4 ·*",Checklist!$I$2:$I$32,"done")</f>
        <v>0</v>
      </c>
      <c r="E6" s="18" t="n">
        <f aca="false">COUNTIFS(Checklist!$A$2:$A$32,"G4 ·*",Checklist!$I$2:$I$32,"doing")</f>
        <v>0</v>
      </c>
      <c r="F6" s="18" t="n">
        <f aca="false">COUNTIFS(Checklist!$A$2:$A$32,"G4 ·*",Checklist!$I$2:$I$32,"todo")</f>
        <v>2</v>
      </c>
      <c r="G6" s="18" t="n">
        <f aca="false">COUNTIFS(Checklist!$A$2:$A$32,"G4 ·*",Checklist!$H$2:$H$32,"Ja",Checklist!$I$2:$I$32,"&lt;&gt;done")</f>
        <v>0</v>
      </c>
      <c r="H6" s="18" t="str">
        <f aca="false">IF(G6=0,"GO","NO-GO ("&amp;G6&amp;" open)")</f>
        <v>GO</v>
      </c>
    </row>
    <row r="7" customFormat="false" ht="15" hidden="false" customHeight="false" outlineLevel="0" collapsed="false">
      <c r="A7" s="18" t="s">
        <v>204</v>
      </c>
      <c r="B7" s="17" t="s">
        <v>205</v>
      </c>
      <c r="C7" s="18" t="n">
        <f aca="false">COUNTIF(Checklist!$A$2:$A$32,"G5 ·*")</f>
        <v>3</v>
      </c>
      <c r="D7" s="18" t="n">
        <f aca="false">COUNTIFS(Checklist!$A$2:$A$32,"G5 ·*",Checklist!$I$2:$I$32,"done")</f>
        <v>2</v>
      </c>
      <c r="E7" s="18" t="n">
        <f aca="false">COUNTIFS(Checklist!$A$2:$A$32,"G5 ·*",Checklist!$I$2:$I$32,"doing")</f>
        <v>1</v>
      </c>
      <c r="F7" s="18" t="n">
        <f aca="false">COUNTIFS(Checklist!$A$2:$A$32,"G5 ·*",Checklist!$I$2:$I$32,"todo")</f>
        <v>0</v>
      </c>
      <c r="G7" s="18" t="n">
        <f aca="false">COUNTIFS(Checklist!$A$2:$A$32,"G5 ·*",Checklist!$H$2:$H$32,"Ja",Checklist!$I$2:$I$32,"&lt;&gt;done")</f>
        <v>1</v>
      </c>
      <c r="H7" s="18" t="str">
        <f aca="false">IF(G7=0,"GO","NO-GO ("&amp;G7&amp;" open)")</f>
        <v>NO-GO (1 open)</v>
      </c>
    </row>
    <row r="8" customFormat="false" ht="15" hidden="false" customHeight="false" outlineLevel="0" collapsed="false">
      <c r="A8" s="18" t="s">
        <v>206</v>
      </c>
      <c r="B8" s="17" t="s">
        <v>207</v>
      </c>
      <c r="C8" s="18" t="n">
        <f aca="false">COUNTIF(Checklist!$A$2:$A$32,"G6 ·*")</f>
        <v>5</v>
      </c>
      <c r="D8" s="18" t="n">
        <f aca="false">COUNTIFS(Checklist!$A$2:$A$32,"G6 ·*",Checklist!$I$2:$I$32,"done")</f>
        <v>4</v>
      </c>
      <c r="E8" s="18" t="n">
        <f aca="false">COUNTIFS(Checklist!$A$2:$A$32,"G6 ·*",Checklist!$I$2:$I$32,"doing")</f>
        <v>1</v>
      </c>
      <c r="F8" s="18" t="n">
        <f aca="false">COUNTIFS(Checklist!$A$2:$A$32,"G6 ·*",Checklist!$I$2:$I$32,"todo")</f>
        <v>0</v>
      </c>
      <c r="G8" s="18" t="n">
        <f aca="false">COUNTIFS(Checklist!$A$2:$A$32,"G6 ·*",Checklist!$H$2:$H$32,"Ja",Checklist!$I$2:$I$32,"&lt;&gt;done")</f>
        <v>0</v>
      </c>
      <c r="H8" s="18" t="str">
        <f aca="false">IF(G8=0,"GO","NO-GO ("&amp;G8&amp;" open)")</f>
        <v>GO</v>
      </c>
    </row>
    <row r="9" customFormat="false" ht="15" hidden="false" customHeight="false" outlineLevel="0" collapsed="false">
      <c r="A9" s="18" t="s">
        <v>208</v>
      </c>
      <c r="B9" s="17" t="s">
        <v>209</v>
      </c>
      <c r="C9" s="18" t="n">
        <f aca="false">COUNTIF(Checklist!$A$2:$A$32,"G7 ·*")</f>
        <v>2</v>
      </c>
      <c r="D9" s="18" t="n">
        <f aca="false">COUNTIFS(Checklist!$A$2:$A$32,"G7 ·*",Checklist!$I$2:$I$32,"done")</f>
        <v>1</v>
      </c>
      <c r="E9" s="18" t="n">
        <f aca="false">COUNTIFS(Checklist!$A$2:$A$32,"G7 ·*",Checklist!$I$2:$I$32,"doing")</f>
        <v>0</v>
      </c>
      <c r="F9" s="18" t="n">
        <f aca="false">COUNTIFS(Checklist!$A$2:$A$32,"G7 ·*",Checklist!$I$2:$I$32,"todo")</f>
        <v>1</v>
      </c>
      <c r="G9" s="18" t="n">
        <f aca="false">COUNTIFS(Checklist!$A$2:$A$32,"G7 ·*",Checklist!$H$2:$H$32,"Ja",Checklist!$I$2:$I$32,"&lt;&gt;done")</f>
        <v>1</v>
      </c>
      <c r="H9" s="18" t="str">
        <f aca="false">IF(G9=0,"GO","NO-GO ("&amp;G9&amp;" open)")</f>
        <v>NO-GO (1 open)</v>
      </c>
    </row>
    <row r="10" customFormat="false" ht="15" hidden="false" customHeight="false" outlineLevel="0" collapsed="false">
      <c r="A10" s="18" t="s">
        <v>210</v>
      </c>
      <c r="B10" s="17" t="s">
        <v>211</v>
      </c>
      <c r="C10" s="18" t="n">
        <f aca="false">COUNTIF(Checklist!$A$2:$A$32,"G8 ·*")</f>
        <v>5</v>
      </c>
      <c r="D10" s="18" t="n">
        <f aca="false">COUNTIFS(Checklist!$A$2:$A$32,"G8 ·*",Checklist!$I$2:$I$32,"done")</f>
        <v>2</v>
      </c>
      <c r="E10" s="18" t="n">
        <f aca="false">COUNTIFS(Checklist!$A$2:$A$32,"G8 ·*",Checklist!$I$2:$I$32,"doing")</f>
        <v>2</v>
      </c>
      <c r="F10" s="18" t="n">
        <f aca="false">COUNTIFS(Checklist!$A$2:$A$32,"G8 ·*",Checklist!$I$2:$I$32,"todo")</f>
        <v>1</v>
      </c>
      <c r="G10" s="18" t="n">
        <f aca="false">COUNTIFS(Checklist!$A$2:$A$32,"G8 ·*",Checklist!$H$2:$H$32,"Ja",Checklist!$I$2:$I$32,"&lt;&gt;done")</f>
        <v>3</v>
      </c>
      <c r="H10" s="18" t="str">
        <f aca="false">IF(G10=0,"GO","NO-GO ("&amp;G10&amp;" open)")</f>
        <v>NO-GO (3 open)</v>
      </c>
    </row>
    <row r="11" customFormat="false" ht="15" hidden="false" customHeight="false" outlineLevel="0" collapsed="false">
      <c r="B11" s="19" t="s">
        <v>212</v>
      </c>
      <c r="C11" s="19" t="n">
        <f aca="false">SUM(C2:C10)</f>
        <v>31</v>
      </c>
      <c r="D11" s="19" t="n">
        <f aca="false">SUM(D2:D10)</f>
        <v>18</v>
      </c>
      <c r="E11" s="19" t="n">
        <f aca="false">SUM(E2:E10)</f>
        <v>6</v>
      </c>
      <c r="F11" s="19" t="n">
        <f aca="false">SUM(F2:F10)</f>
        <v>7</v>
      </c>
      <c r="G11" s="19" t="n">
        <f aca="false">SUM(G2:G10)</f>
        <v>10</v>
      </c>
      <c r="H11" s="19" t="str">
        <f aca="false">IF(G11=0,"GO — verantwoord live","NO-GO ("&amp;G11&amp;" blockers open)")</f>
        <v>NO-GO (10 blockers open)</v>
      </c>
    </row>
  </sheetData>
  <conditionalFormatting sqref="H2:H11">
    <cfRule type="expression" priority="2" aboveAverage="0" equalAverage="0" bottom="0" percent="0" rank="0" text="" dxfId="2">
      <formula>LEFT(H2,2)="GO"</formula>
    </cfRule>
    <cfRule type="expression" priority="3" aboveAverage="0" equalAverage="0" bottom="0" percent="0" rank="0" text="" dxfId="3">
      <formula>LEFT(H2,2)="NO"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5" t="s">
        <v>213</v>
      </c>
      <c r="B1" s="15" t="s">
        <v>214</v>
      </c>
      <c r="C1" s="15" t="s">
        <v>215</v>
      </c>
      <c r="D1" s="15" t="s">
        <v>216</v>
      </c>
      <c r="E1" s="15" t="s">
        <v>217</v>
      </c>
    </row>
    <row r="2" customFormat="false" ht="23.85" hidden="false" customHeight="false" outlineLevel="0" collapsed="false">
      <c r="A2" s="17" t="s">
        <v>218</v>
      </c>
      <c r="B2" s="17" t="s">
        <v>219</v>
      </c>
      <c r="C2" s="17" t="s">
        <v>220</v>
      </c>
      <c r="D2" s="17" t="s">
        <v>221</v>
      </c>
      <c r="E2" s="17" t="s">
        <v>222</v>
      </c>
    </row>
    <row r="3" customFormat="false" ht="35.05" hidden="false" customHeight="false" outlineLevel="0" collapsed="false">
      <c r="A3" s="17" t="s">
        <v>223</v>
      </c>
      <c r="B3" s="17" t="s">
        <v>224</v>
      </c>
      <c r="C3" s="17" t="s">
        <v>220</v>
      </c>
      <c r="D3" s="17" t="s">
        <v>225</v>
      </c>
      <c r="E3" s="17" t="s">
        <v>226</v>
      </c>
    </row>
    <row r="4" customFormat="false" ht="23.85" hidden="false" customHeight="false" outlineLevel="0" collapsed="false">
      <c r="A4" s="17" t="s">
        <v>227</v>
      </c>
      <c r="B4" s="17" t="s">
        <v>228</v>
      </c>
      <c r="C4" s="17" t="s">
        <v>220</v>
      </c>
      <c r="D4" s="17" t="s">
        <v>229</v>
      </c>
      <c r="E4" s="17" t="s">
        <v>230</v>
      </c>
    </row>
    <row r="5" customFormat="false" ht="35.05" hidden="false" customHeight="false" outlineLevel="0" collapsed="false">
      <c r="A5" s="17" t="s">
        <v>231</v>
      </c>
      <c r="B5" s="17" t="s">
        <v>232</v>
      </c>
      <c r="C5" s="17" t="s">
        <v>220</v>
      </c>
      <c r="D5" s="17" t="s">
        <v>233</v>
      </c>
      <c r="E5" s="17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00"/>
  </cols>
  <sheetData>
    <row r="2" customFormat="false" ht="15" hidden="false" customHeight="false" outlineLevel="0" collapsed="false">
      <c r="B2" s="20" t="s">
        <v>235</v>
      </c>
    </row>
    <row r="3" customFormat="false" ht="15" hidden="false" customHeight="false" outlineLevel="0" collapsed="false">
      <c r="B3" s="21" t="s">
        <v>10</v>
      </c>
      <c r="C3" s="22" t="s">
        <v>236</v>
      </c>
    </row>
    <row r="4" customFormat="false" ht="15" hidden="false" customHeight="false" outlineLevel="0" collapsed="false">
      <c r="B4" s="21" t="s">
        <v>18</v>
      </c>
      <c r="C4" s="22" t="s">
        <v>237</v>
      </c>
    </row>
    <row r="5" customFormat="false" ht="23.85" hidden="false" customHeight="false" outlineLevel="0" collapsed="false">
      <c r="B5" s="21" t="s">
        <v>15</v>
      </c>
      <c r="C5" s="22" t="s">
        <v>238</v>
      </c>
    </row>
    <row r="6" customFormat="false" ht="15" hidden="false" customHeight="false" outlineLevel="0" collapsed="false">
      <c r="B6" s="21" t="s">
        <v>239</v>
      </c>
      <c r="C6" s="22" t="s">
        <v>240</v>
      </c>
    </row>
    <row r="7" customFormat="false" ht="23.85" hidden="false" customHeight="false" outlineLevel="0" collapsed="false">
      <c r="B7" s="21" t="s">
        <v>241</v>
      </c>
      <c r="C7" s="22" t="s">
        <v>242</v>
      </c>
    </row>
    <row r="8" customFormat="false" ht="23.85" hidden="false" customHeight="false" outlineLevel="0" collapsed="false">
      <c r="B8" s="21" t="s">
        <v>243</v>
      </c>
      <c r="C8" s="22" t="s">
        <v>244</v>
      </c>
    </row>
    <row r="9" customFormat="false" ht="15" hidden="false" customHeight="false" outlineLevel="0" collapsed="false">
      <c r="B9" s="21" t="s">
        <v>245</v>
      </c>
      <c r="C9" s="2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2026-07-10T13:26:56Z</dcterms:created>
  <dc:creator>openpyxl</dc:creator>
  <dc:description/>
  <dc:language>en-US</dc:language>
  <cp:lastModifiedBy/>
  <dcterms:modified xsi:type="dcterms:W3CDTF">2026-07-10T13:26:56Z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